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Backup Pendrive\Pendrive mp3\backup pen drive\sos\unidade pinheiros\Unidade Pinheiros\"/>
    </mc:Choice>
  </mc:AlternateContent>
  <bookViews>
    <workbookView xWindow="0" yWindow="0" windowWidth="23040" windowHeight="10092" activeTab="1"/>
  </bookViews>
  <sheets>
    <sheet name="Menu" sheetId="4" r:id="rId1"/>
    <sheet name="Orçamento" sheetId="1" r:id="rId2"/>
    <sheet name="Clientes" sheetId="2" r:id="rId3"/>
    <sheet name="Serviços" sheetId="3" r:id="rId4"/>
  </sheets>
  <externalReferences>
    <externalReference r:id="rId5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1" l="1"/>
  <c r="D11" i="1"/>
  <c r="D12" i="1"/>
  <c r="D13" i="1"/>
  <c r="D7" i="1"/>
  <c r="D6" i="1"/>
  <c r="B7" i="1"/>
  <c r="B6" i="1"/>
  <c r="B4" i="1"/>
  <c r="B3" i="1"/>
  <c r="D14" i="1" l="1"/>
  <c r="D16" i="1" l="1"/>
  <c r="D17" i="1"/>
  <c r="D21" i="1" l="1"/>
</calcChain>
</file>

<file path=xl/sharedStrings.xml><?xml version="1.0" encoding="utf-8"?>
<sst xmlns="http://schemas.openxmlformats.org/spreadsheetml/2006/main" count="94" uniqueCount="82">
  <si>
    <t>Tabela de Orçamento</t>
  </si>
  <si>
    <t>Nome</t>
  </si>
  <si>
    <t>Endereço</t>
  </si>
  <si>
    <t>Bairro</t>
  </si>
  <si>
    <t>Estado Civil</t>
  </si>
  <si>
    <t>Fone</t>
  </si>
  <si>
    <t>E-mail</t>
  </si>
  <si>
    <t>Descrição</t>
  </si>
  <si>
    <t>Qtd</t>
  </si>
  <si>
    <t>Total</t>
  </si>
  <si>
    <t>Sexo</t>
  </si>
  <si>
    <t>Cel</t>
  </si>
  <si>
    <t>CPF/CNPJ</t>
  </si>
  <si>
    <t>Cadastro de Clientes</t>
  </si>
  <si>
    <t>Cidade</t>
  </si>
  <si>
    <t>Ana Maria Braga</t>
  </si>
  <si>
    <t>Rua das Hortênsias</t>
  </si>
  <si>
    <t>Primavera</t>
  </si>
  <si>
    <t>3229-6070</t>
  </si>
  <si>
    <t>anamariabraga@gmail.com</t>
  </si>
  <si>
    <t>822.438.295-20</t>
  </si>
  <si>
    <t>São Paulo</t>
  </si>
  <si>
    <t>93229-6070</t>
  </si>
  <si>
    <t>Masculino</t>
  </si>
  <si>
    <t>Adriana dos Santos</t>
  </si>
  <si>
    <t>Rua das Rosas</t>
  </si>
  <si>
    <t>3229-6071</t>
  </si>
  <si>
    <t>adrianadossantos@gmail.com</t>
  </si>
  <si>
    <t>822.438.295-21</t>
  </si>
  <si>
    <t>Rio de Janeiro</t>
  </si>
  <si>
    <t>93229-6071</t>
  </si>
  <si>
    <t>Feminino</t>
  </si>
  <si>
    <t>Fernando Cerqueira Campos</t>
  </si>
  <si>
    <t>Av Pedreira</t>
  </si>
  <si>
    <t>Verão</t>
  </si>
  <si>
    <t>3229-6072</t>
  </si>
  <si>
    <t>fernandocerqueiracampos@gmail.com</t>
  </si>
  <si>
    <t>822.438.295-22</t>
  </si>
  <si>
    <t>Belo Horizonte</t>
  </si>
  <si>
    <t>93229-6072</t>
  </si>
  <si>
    <t>Marco Antônio de Freitas</t>
  </si>
  <si>
    <t>Rua Barnabé</t>
  </si>
  <si>
    <t>Outono</t>
  </si>
  <si>
    <t>3229-6073</t>
  </si>
  <si>
    <t>marcoantôniodefreitas@gmail.com</t>
  </si>
  <si>
    <t>822.438.295-23</t>
  </si>
  <si>
    <t>Taubaté</t>
  </si>
  <si>
    <t>93229-6073</t>
  </si>
  <si>
    <t>Juliana Neves</t>
  </si>
  <si>
    <t>Rua dos Machados</t>
  </si>
  <si>
    <t>Inverno</t>
  </si>
  <si>
    <t>3229-6074</t>
  </si>
  <si>
    <t>juliananeves@gmail.com</t>
  </si>
  <si>
    <t>822.438.295-24</t>
  </si>
  <si>
    <t>Campos do Jordão</t>
  </si>
  <si>
    <t>93229-6074</t>
  </si>
  <si>
    <t>Letícia dos Campos Alves</t>
  </si>
  <si>
    <t>Av Nadir</t>
  </si>
  <si>
    <t>3229-6075</t>
  </si>
  <si>
    <t>letíciadoscamposalves@gmail.com</t>
  </si>
  <si>
    <t>822.438.295-25</t>
  </si>
  <si>
    <t>Caçapava</t>
  </si>
  <si>
    <t>93229-6075</t>
  </si>
  <si>
    <t>Serviços</t>
  </si>
  <si>
    <t>Preço</t>
  </si>
  <si>
    <t>Cabelo Masculino</t>
  </si>
  <si>
    <t>Cabelo Feminino</t>
  </si>
  <si>
    <t>Escova Progressiva</t>
  </si>
  <si>
    <t>Coloracao</t>
  </si>
  <si>
    <t>Unha</t>
  </si>
  <si>
    <t>Cacheamento</t>
  </si>
  <si>
    <t>Acréscimo</t>
  </si>
  <si>
    <t>Subtotal</t>
  </si>
  <si>
    <t>Desconto</t>
  </si>
  <si>
    <t>Adiantamento</t>
  </si>
  <si>
    <t>Data da Entrada</t>
  </si>
  <si>
    <t>Assinatura do Cliente</t>
  </si>
  <si>
    <t>Solteiro(a)</t>
  </si>
  <si>
    <t>Casado(a)</t>
  </si>
  <si>
    <t>Separado(a)</t>
  </si>
  <si>
    <t>Divorciado(a)</t>
  </si>
  <si>
    <t>Viúvo(a)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</si>
</sst>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R$&quot;\ * #,##0.00_-;\-&quot;R$&quot;\ * #,##0.00_-;_-&quot;R$&quot;\ * &quot;-&quot;??_-;_-@_-"/>
    <numFmt numFmtId="164" formatCode="&quot;R$ &quot;#,##0.00_);[Red]\(&quot;R$ &quot;#,##0.00\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Segoe UI"/>
      <family val="2"/>
    </font>
    <font>
      <sz val="11"/>
      <color theme="1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1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1" xfId="0" applyFill="1" applyBorder="1"/>
    <xf numFmtId="0" fontId="4" fillId="0" borderId="1" xfId="0" applyFont="1" applyBorder="1" applyAlignment="1">
      <alignment wrapText="1"/>
    </xf>
    <xf numFmtId="0" fontId="0" fillId="0" borderId="1" xfId="0" applyBorder="1" applyAlignmen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1" xfId="0" applyNumberFormat="1" applyBorder="1"/>
    <xf numFmtId="0" fontId="0" fillId="0" borderId="5" xfId="0" applyBorder="1" applyAlignment="1">
      <alignment horizontal="center"/>
    </xf>
    <xf numFmtId="0" fontId="0" fillId="0" borderId="2" xfId="0" applyBorder="1" applyAlignment="1" applyProtection="1">
      <alignment horizontal="left"/>
      <protection hidden="1"/>
    </xf>
    <xf numFmtId="0" fontId="0" fillId="0" borderId="3" xfId="0" applyBorder="1" applyAlignment="1" applyProtection="1">
      <alignment horizontal="left"/>
      <protection hidden="1"/>
    </xf>
    <xf numFmtId="0" fontId="0" fillId="0" borderId="4" xfId="0" applyBorder="1" applyAlignment="1" applyProtection="1">
      <alignment horizontal="left"/>
      <protection hidden="1"/>
    </xf>
    <xf numFmtId="0" fontId="0" fillId="0" borderId="1" xfId="0" applyBorder="1" applyProtection="1">
      <protection hidden="1"/>
    </xf>
    <xf numFmtId="44" fontId="0" fillId="0" borderId="1" xfId="1" applyFont="1" applyBorder="1" applyProtection="1">
      <protection hidden="1"/>
    </xf>
    <xf numFmtId="44" fontId="0" fillId="0" borderId="1" xfId="0" applyNumberFormat="1" applyBorder="1" applyProtection="1"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</cellXfs>
  <cellStyles count="2">
    <cellStyle name="Moeda" xfId="1" builtinId="4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26" fmlaLink="B2" fmlaRange="Clientes!$A$4:$A$10" noThreeD="1" sel="2" val="0"/>
</file>

<file path=xl/ctrlProps/ctrlProp2.xml><?xml version="1.0" encoding="utf-8"?>
<formControlPr xmlns="http://schemas.microsoft.com/office/spreadsheetml/2009/9/main" objectType="Drop" dropStyle="combo" dx="26" fmlaLink="A10" fmlaRange="Serviços!$A$2:$A$8" noThreeD="1" sel="5" val="0"/>
</file>

<file path=xl/ctrlProps/ctrlProp3.xml><?xml version="1.0" encoding="utf-8"?>
<formControlPr xmlns="http://schemas.microsoft.com/office/spreadsheetml/2009/9/main" objectType="Drop" dropStyle="combo" dx="26" fmlaLink="A12" fmlaRange="Serviços!$A$2:$A$8" noThreeD="1" sel="4" val="0"/>
</file>

<file path=xl/ctrlProps/ctrlProp4.xml><?xml version="1.0" encoding="utf-8"?>
<formControlPr xmlns="http://schemas.microsoft.com/office/spreadsheetml/2009/9/main" objectType="Drop" dropStyle="combo" dx="26" fmlaLink="A11" fmlaRange="Serviços!$A$2:$A$8" noThreeD="1" sel="5" val="0"/>
</file>

<file path=xl/ctrlProps/ctrlProp5.xml><?xml version="1.0" encoding="utf-8"?>
<formControlPr xmlns="http://schemas.microsoft.com/office/spreadsheetml/2009/9/main" objectType="Drop" dropStyle="combo" dx="26" fmlaLink="A13" fmlaRange="Serviços!$A$2:$A$8" noThreeD="1" sel="4" val="0"/>
</file>

<file path=xl/ctrlProps/ctrlProp6.xml><?xml version="1.0" encoding="utf-8"?>
<formControlPr xmlns="http://schemas.microsoft.com/office/spreadsheetml/2009/9/main" objectType="Drop" dropStyle="combo" dx="26" fmlaLink="B5" fmlaRange="Clientes!$K$4:$K$9" noThreeD="1" sel="2" val="0"/>
</file>

<file path=xl/ctrlProps/ctrlProp7.xml><?xml version="1.0" encoding="utf-8"?>
<formControlPr xmlns="http://schemas.microsoft.com/office/spreadsheetml/2009/9/main" objectType="Drop" dropStyle="combo" dx="26" fmlaLink="D5" fmlaRange="Clientes!$J$4:$J$6" noThreeD="1" sel="2" val="0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Radio" firstButton="1" fmlaLink="B17" lockText="1" noThreeD="1"/>
</file>

<file path=xl/ctrlProps/ctrlProp10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ervi&#231;os!A1"/><Relationship Id="rId2" Type="http://schemas.openxmlformats.org/officeDocument/2006/relationships/hyperlink" Target="#Clientes!A1"/><Relationship Id="rId1" Type="http://schemas.openxmlformats.org/officeDocument/2006/relationships/hyperlink" Target="#Or&#231;amento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Servi&#231;os!A1"/><Relationship Id="rId2" Type="http://schemas.openxmlformats.org/officeDocument/2006/relationships/hyperlink" Target="#Clientes!A1"/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Servi&#231;os!A1"/><Relationship Id="rId2" Type="http://schemas.openxmlformats.org/officeDocument/2006/relationships/hyperlink" Target="#Or&#231;amento!A1"/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lientes!A1"/><Relationship Id="rId2" Type="http://schemas.openxmlformats.org/officeDocument/2006/relationships/hyperlink" Target="#Or&#231;amento!A1"/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167640</xdr:rowOff>
    </xdr:from>
    <xdr:to>
      <xdr:col>3</xdr:col>
      <xdr:colOff>580800</xdr:colOff>
      <xdr:row>4</xdr:row>
      <xdr:rowOff>159000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1C9CED-DAF9-4274-B1ED-A8F3837D243A}"/>
            </a:ext>
          </a:extLst>
        </xdr:cNvPr>
        <xdr:cNvSpPr/>
      </xdr:nvSpPr>
      <xdr:spPr>
        <a:xfrm>
          <a:off x="609600" y="350520"/>
          <a:ext cx="1800000" cy="5400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/>
            <a:t>Orçamento</a:t>
          </a:r>
        </a:p>
      </xdr:txBody>
    </xdr:sp>
    <xdr:clientData/>
  </xdr:twoCellAnchor>
  <xdr:twoCellAnchor>
    <xdr:from>
      <xdr:col>5</xdr:col>
      <xdr:colOff>15240</xdr:colOff>
      <xdr:row>1</xdr:row>
      <xdr:rowOff>167640</xdr:rowOff>
    </xdr:from>
    <xdr:to>
      <xdr:col>7</xdr:col>
      <xdr:colOff>596040</xdr:colOff>
      <xdr:row>4</xdr:row>
      <xdr:rowOff>159000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7DBEA4E-9422-4AC9-ABBA-E6C88767AE3B}"/>
            </a:ext>
          </a:extLst>
        </xdr:cNvPr>
        <xdr:cNvSpPr/>
      </xdr:nvSpPr>
      <xdr:spPr>
        <a:xfrm>
          <a:off x="3063240" y="350520"/>
          <a:ext cx="1800000" cy="5400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/>
            <a:t>Clientes</a:t>
          </a:r>
        </a:p>
      </xdr:txBody>
    </xdr:sp>
    <xdr:clientData/>
  </xdr:twoCellAnchor>
  <xdr:twoCellAnchor>
    <xdr:from>
      <xdr:col>3</xdr:col>
      <xdr:colOff>15240</xdr:colOff>
      <xdr:row>7</xdr:row>
      <xdr:rowOff>15240</xdr:rowOff>
    </xdr:from>
    <xdr:to>
      <xdr:col>5</xdr:col>
      <xdr:colOff>596040</xdr:colOff>
      <xdr:row>10</xdr:row>
      <xdr:rowOff>6600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DD92A9F-DBE8-476F-8292-57D8D4DDF2CC}"/>
            </a:ext>
          </a:extLst>
        </xdr:cNvPr>
        <xdr:cNvSpPr/>
      </xdr:nvSpPr>
      <xdr:spPr>
        <a:xfrm>
          <a:off x="1844040" y="1295400"/>
          <a:ext cx="1800000" cy="5400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/>
            <a:t>Serviços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0</xdr:rowOff>
        </xdr:from>
        <xdr:to>
          <xdr:col>4</xdr:col>
          <xdr:colOff>0</xdr:colOff>
          <xdr:row>2</xdr:row>
          <xdr:rowOff>0</xdr:rowOff>
        </xdr:to>
        <xdr:sp macro="" textlink="">
          <xdr:nvSpPr>
            <xdr:cNvPr id="1026" name="Drop-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8CF90D1B-DBF6-4F33-B999-63A222F0D8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8</xdr:row>
          <xdr:rowOff>175260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1027" name="Drop-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E0AC9484-4271-4BE1-A46F-B9D59E55B1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10</xdr:row>
          <xdr:rowOff>175260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1031" name="Drop-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473BD1B6-F068-47CF-A94F-F0E1FF828D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9</xdr:row>
          <xdr:rowOff>175260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1032" name="Drop-dow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584ED893-FCAF-45E4-A1A5-B41A17705E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12</xdr:row>
          <xdr:rowOff>0</xdr:rowOff>
        </xdr:from>
        <xdr:to>
          <xdr:col>2</xdr:col>
          <xdr:colOff>0</xdr:colOff>
          <xdr:row>13</xdr:row>
          <xdr:rowOff>7620</xdr:rowOff>
        </xdr:to>
        <xdr:sp macro="" textlink="">
          <xdr:nvSpPr>
            <xdr:cNvPr id="1033" name="Drop-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8FE9622D-B096-45D6-84C0-BF59A89A17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167640</xdr:rowOff>
        </xdr:from>
        <xdr:to>
          <xdr:col>2</xdr:col>
          <xdr:colOff>7620</xdr:colOff>
          <xdr:row>5</xdr:row>
          <xdr:rowOff>7620</xdr:rowOff>
        </xdr:to>
        <xdr:sp macro="" textlink="">
          <xdr:nvSpPr>
            <xdr:cNvPr id="1034" name="Drop-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C14F1CB8-453A-4499-8ABA-6ED418222F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7620</xdr:rowOff>
        </xdr:from>
        <xdr:to>
          <xdr:col>3</xdr:col>
          <xdr:colOff>929640</xdr:colOff>
          <xdr:row>5</xdr:row>
          <xdr:rowOff>15240</xdr:rowOff>
        </xdr:to>
        <xdr:sp macro="" textlink="">
          <xdr:nvSpPr>
            <xdr:cNvPr id="1035" name="Drop-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7D1E1E20-AF85-40AB-A36D-E66F52E154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14</xdr:row>
          <xdr:rowOff>0</xdr:rowOff>
        </xdr:from>
        <xdr:to>
          <xdr:col>1</xdr:col>
          <xdr:colOff>2263140</xdr:colOff>
          <xdr:row>19</xdr:row>
          <xdr:rowOff>0</xdr:rowOff>
        </xdr:to>
        <xdr:sp macro="" textlink="">
          <xdr:nvSpPr>
            <xdr:cNvPr id="1036" name="Caixa de grupo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EE66F4B5-C46C-481B-B9C8-5C2A7FFD46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Pagamento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14</xdr:row>
          <xdr:rowOff>160020</xdr:rowOff>
        </xdr:from>
        <xdr:to>
          <xdr:col>1</xdr:col>
          <xdr:colOff>144780</xdr:colOff>
          <xdr:row>16</xdr:row>
          <xdr:rowOff>7620</xdr:rowOff>
        </xdr:to>
        <xdr:sp macro="" textlink="">
          <xdr:nvSpPr>
            <xdr:cNvPr id="1037" name="Botão de opção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A0F4787B-596D-43BE-B26F-DC854B13A2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 Prazo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16</xdr:row>
          <xdr:rowOff>144780</xdr:rowOff>
        </xdr:from>
        <xdr:to>
          <xdr:col>1</xdr:col>
          <xdr:colOff>152400</xdr:colOff>
          <xdr:row>17</xdr:row>
          <xdr:rowOff>175260</xdr:rowOff>
        </xdr:to>
        <xdr:sp macro="" textlink="">
          <xdr:nvSpPr>
            <xdr:cNvPr id="1038" name="Botão de opção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A733F48F-ECED-43AF-A6EE-13C2CF8F3F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À vista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0</xdr:colOff>
      <xdr:row>2</xdr:row>
      <xdr:rowOff>0</xdr:rowOff>
    </xdr:from>
    <xdr:to>
      <xdr:col>7</xdr:col>
      <xdr:colOff>580800</xdr:colOff>
      <xdr:row>4</xdr:row>
      <xdr:rowOff>174240</xdr:rowOff>
    </xdr:to>
    <xdr:sp macro="" textlink="">
      <xdr:nvSpPr>
        <xdr:cNvPr id="16" name="Retângulo: Cantos Arredondado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C8BE776-B5AB-4E97-A3A0-EB009E83B427}"/>
            </a:ext>
          </a:extLst>
        </xdr:cNvPr>
        <xdr:cNvSpPr/>
      </xdr:nvSpPr>
      <xdr:spPr>
        <a:xfrm>
          <a:off x="6012180" y="365760"/>
          <a:ext cx="1800000" cy="5400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/>
            <a:t>Menu</a:t>
          </a:r>
        </a:p>
      </xdr:txBody>
    </xdr:sp>
    <xdr:clientData/>
  </xdr:twoCellAnchor>
  <xdr:twoCellAnchor>
    <xdr:from>
      <xdr:col>9</xdr:col>
      <xdr:colOff>15240</xdr:colOff>
      <xdr:row>2</xdr:row>
      <xdr:rowOff>0</xdr:rowOff>
    </xdr:from>
    <xdr:to>
      <xdr:col>11</xdr:col>
      <xdr:colOff>596040</xdr:colOff>
      <xdr:row>4</xdr:row>
      <xdr:rowOff>174240</xdr:rowOff>
    </xdr:to>
    <xdr:sp macro="" textlink="">
      <xdr:nvSpPr>
        <xdr:cNvPr id="17" name="Retângulo: Cantos Arredondados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8F022EC-FEED-44F5-9780-72F2C685A73D}"/>
            </a:ext>
          </a:extLst>
        </xdr:cNvPr>
        <xdr:cNvSpPr/>
      </xdr:nvSpPr>
      <xdr:spPr>
        <a:xfrm>
          <a:off x="8465820" y="365760"/>
          <a:ext cx="1800000" cy="5400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/>
            <a:t>Clientes</a:t>
          </a:r>
        </a:p>
      </xdr:txBody>
    </xdr:sp>
    <xdr:clientData/>
  </xdr:twoCellAnchor>
  <xdr:twoCellAnchor>
    <xdr:from>
      <xdr:col>7</xdr:col>
      <xdr:colOff>15240</xdr:colOff>
      <xdr:row>7</xdr:row>
      <xdr:rowOff>30480</xdr:rowOff>
    </xdr:from>
    <xdr:to>
      <xdr:col>9</xdr:col>
      <xdr:colOff>596040</xdr:colOff>
      <xdr:row>10</xdr:row>
      <xdr:rowOff>21840</xdr:rowOff>
    </xdr:to>
    <xdr:sp macro="" textlink="">
      <xdr:nvSpPr>
        <xdr:cNvPr id="18" name="Retângulo: Cantos Arredondados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454682F-550B-4080-8FF1-7F1D59342C2B}"/>
            </a:ext>
          </a:extLst>
        </xdr:cNvPr>
        <xdr:cNvSpPr/>
      </xdr:nvSpPr>
      <xdr:spPr>
        <a:xfrm>
          <a:off x="7246620" y="1310640"/>
          <a:ext cx="1800000" cy="5400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/>
            <a:t>Serviços</a:t>
          </a:r>
        </a:p>
      </xdr:txBody>
    </xdr:sp>
    <xdr:clientData/>
  </xdr:twoCellAnchor>
  <xdr:twoCellAnchor>
    <xdr:from>
      <xdr:col>7</xdr:col>
      <xdr:colOff>220980</xdr:colOff>
      <xdr:row>13</xdr:row>
      <xdr:rowOff>152400</xdr:rowOff>
    </xdr:from>
    <xdr:to>
      <xdr:col>10</xdr:col>
      <xdr:colOff>192180</xdr:colOff>
      <xdr:row>16</xdr:row>
      <xdr:rowOff>143760</xdr:rowOff>
    </xdr:to>
    <xdr:sp macro="[0]!Imprimi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1267711-9B71-4410-9AE2-C75BC130A06E}"/>
            </a:ext>
          </a:extLst>
        </xdr:cNvPr>
        <xdr:cNvSpPr/>
      </xdr:nvSpPr>
      <xdr:spPr>
        <a:xfrm>
          <a:off x="7452360" y="2529840"/>
          <a:ext cx="1800000" cy="540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/>
            <a:t>Imprimir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3</xdr:col>
      <xdr:colOff>55020</xdr:colOff>
      <xdr:row>16</xdr:row>
      <xdr:rowOff>174240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E4C8137-587F-441F-9511-4CAE5E9A458C}"/>
            </a:ext>
          </a:extLst>
        </xdr:cNvPr>
        <xdr:cNvSpPr/>
      </xdr:nvSpPr>
      <xdr:spPr>
        <a:xfrm>
          <a:off x="1668780" y="2560320"/>
          <a:ext cx="1800000" cy="5400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/>
            <a:t>Menu</a:t>
          </a:r>
        </a:p>
      </xdr:txBody>
    </xdr:sp>
    <xdr:clientData/>
  </xdr:twoCellAnchor>
  <xdr:twoCellAnchor>
    <xdr:from>
      <xdr:col>4</xdr:col>
      <xdr:colOff>45720</xdr:colOff>
      <xdr:row>14</xdr:row>
      <xdr:rowOff>0</xdr:rowOff>
    </xdr:from>
    <xdr:to>
      <xdr:col>4</xdr:col>
      <xdr:colOff>1845720</xdr:colOff>
      <xdr:row>16</xdr:row>
      <xdr:rowOff>174240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AF79E9D-9BA9-4551-9F7F-71AC287E363A}"/>
            </a:ext>
          </a:extLst>
        </xdr:cNvPr>
        <xdr:cNvSpPr/>
      </xdr:nvSpPr>
      <xdr:spPr>
        <a:xfrm>
          <a:off x="4122420" y="2560320"/>
          <a:ext cx="1800000" cy="5400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/>
            <a:t>Orçamento</a:t>
          </a:r>
        </a:p>
      </xdr:txBody>
    </xdr:sp>
    <xdr:clientData/>
  </xdr:twoCellAnchor>
  <xdr:twoCellAnchor>
    <xdr:from>
      <xdr:col>2</xdr:col>
      <xdr:colOff>99060</xdr:colOff>
      <xdr:row>19</xdr:row>
      <xdr:rowOff>30480</xdr:rowOff>
    </xdr:from>
    <xdr:to>
      <xdr:col>4</xdr:col>
      <xdr:colOff>626520</xdr:colOff>
      <xdr:row>22</xdr:row>
      <xdr:rowOff>21840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3A83E29-E5F0-4B23-B793-CE7293E6BD76}"/>
            </a:ext>
          </a:extLst>
        </xdr:cNvPr>
        <xdr:cNvSpPr/>
      </xdr:nvSpPr>
      <xdr:spPr>
        <a:xfrm>
          <a:off x="2903220" y="3505200"/>
          <a:ext cx="1800000" cy="5400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/>
            <a:t>Serviços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3</xdr:col>
      <xdr:colOff>580800</xdr:colOff>
      <xdr:row>16</xdr:row>
      <xdr:rowOff>174240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D509E8-0C25-4502-878F-79F75F744208}"/>
            </a:ext>
          </a:extLst>
        </xdr:cNvPr>
        <xdr:cNvSpPr/>
      </xdr:nvSpPr>
      <xdr:spPr>
        <a:xfrm>
          <a:off x="1828800" y="2560320"/>
          <a:ext cx="1800000" cy="5400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/>
            <a:t>Menu</a:t>
          </a:r>
        </a:p>
      </xdr:txBody>
    </xdr:sp>
    <xdr:clientData/>
  </xdr:twoCellAnchor>
  <xdr:twoCellAnchor>
    <xdr:from>
      <xdr:col>5</xdr:col>
      <xdr:colOff>15240</xdr:colOff>
      <xdr:row>14</xdr:row>
      <xdr:rowOff>0</xdr:rowOff>
    </xdr:from>
    <xdr:to>
      <xdr:col>7</xdr:col>
      <xdr:colOff>596040</xdr:colOff>
      <xdr:row>16</xdr:row>
      <xdr:rowOff>174240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0008757-3543-4E15-A96C-44D141FDB7A3}"/>
            </a:ext>
          </a:extLst>
        </xdr:cNvPr>
        <xdr:cNvSpPr/>
      </xdr:nvSpPr>
      <xdr:spPr>
        <a:xfrm>
          <a:off x="4282440" y="2560320"/>
          <a:ext cx="1800000" cy="5400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/>
            <a:t>Orçamento</a:t>
          </a:r>
        </a:p>
      </xdr:txBody>
    </xdr:sp>
    <xdr:clientData/>
  </xdr:twoCellAnchor>
  <xdr:twoCellAnchor>
    <xdr:from>
      <xdr:col>3</xdr:col>
      <xdr:colOff>15240</xdr:colOff>
      <xdr:row>19</xdr:row>
      <xdr:rowOff>30480</xdr:rowOff>
    </xdr:from>
    <xdr:to>
      <xdr:col>5</xdr:col>
      <xdr:colOff>596040</xdr:colOff>
      <xdr:row>22</xdr:row>
      <xdr:rowOff>21840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88FB816-BD54-4CD1-BD65-0EF5A5647685}"/>
            </a:ext>
          </a:extLst>
        </xdr:cNvPr>
        <xdr:cNvSpPr/>
      </xdr:nvSpPr>
      <xdr:spPr>
        <a:xfrm>
          <a:off x="3063240" y="3505200"/>
          <a:ext cx="1800000" cy="5400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/>
            <a:t>Clientes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andro\Desktop\Excel\Tabela%20de%20Or&#231;amento%20201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Orçamento"/>
      <sheetName val="Clientes"/>
      <sheetName val="Serviços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5"/>
  <sheetViews>
    <sheetView showGridLines="0" showRowColHeaders="0" topLeftCell="A2" workbookViewId="0">
      <selection activeCell="A2" sqref="A2"/>
    </sheetView>
  </sheetViews>
  <sheetFormatPr defaultColWidth="0" defaultRowHeight="14.4" zeroHeight="1" x14ac:dyDescent="0.3"/>
  <cols>
    <col min="1" max="10" width="8.88671875" customWidth="1"/>
    <col min="11" max="16384" width="8.88671875" hidden="1"/>
  </cols>
  <sheetData>
    <row r="1" x14ac:dyDescent="0.3"/>
    <row r="2" x14ac:dyDescent="0.3"/>
    <row r="3" x14ac:dyDescent="0.3"/>
    <row r="4" x14ac:dyDescent="0.3"/>
    <row r="5" x14ac:dyDescent="0.3"/>
    <row r="6" x14ac:dyDescent="0.3"/>
    <row r="7" x14ac:dyDescent="0.3"/>
    <row r="8" x14ac:dyDescent="0.3"/>
    <row r="9" x14ac:dyDescent="0.3"/>
    <row r="10" x14ac:dyDescent="0.3"/>
    <row r="11" x14ac:dyDescent="0.3"/>
    <row r="12" x14ac:dyDescent="0.3"/>
    <row r="13" x14ac:dyDescent="0.3"/>
    <row r="14" x14ac:dyDescent="0.3"/>
    <row r="15" x14ac:dyDescent="0.3"/>
  </sheetData>
  <sheetProtection algorithmName="SHA-512" hashValue="5zNLt6ypnsjG525Nvp2vUhfhiwX621Hf5KACmB8Y8TelNQ1qPXOuJ+Acembjn2FkV27WhdJ4eGYq8qI2FdJ0rw==" saltValue="V6McXe7x3s/oOT0e+VV38w==" spinCount="100000" sheet="1" objects="1" scenarios="1"/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D23"/>
  <sheetViews>
    <sheetView showGridLines="0" tabSelected="1" workbookViewId="0">
      <selection activeCell="L20" sqref="L20"/>
    </sheetView>
  </sheetViews>
  <sheetFormatPr defaultColWidth="0" defaultRowHeight="14.4" zeroHeight="1" x14ac:dyDescent="0.3"/>
  <cols>
    <col min="1" max="1" width="14.21875" customWidth="1"/>
    <col min="2" max="2" width="33.21875" bestFit="1" customWidth="1"/>
    <col min="3" max="3" width="17.6640625" customWidth="1"/>
    <col min="4" max="4" width="13.6640625" customWidth="1"/>
    <col min="5" max="13" width="8.88671875" customWidth="1"/>
    <col min="14" max="16384" width="8.88671875" hidden="1"/>
  </cols>
  <sheetData>
    <row r="1" spans="1:4" x14ac:dyDescent="0.3">
      <c r="A1" s="2" t="s">
        <v>0</v>
      </c>
      <c r="B1" s="2"/>
      <c r="C1" s="2"/>
      <c r="D1" s="2"/>
    </row>
    <row r="2" spans="1:4" x14ac:dyDescent="0.3">
      <c r="A2" s="1" t="s">
        <v>1</v>
      </c>
      <c r="B2" s="18">
        <v>2</v>
      </c>
      <c r="C2" s="18"/>
      <c r="D2" s="18"/>
    </row>
    <row r="3" spans="1:4" x14ac:dyDescent="0.3">
      <c r="A3" s="1" t="s">
        <v>2</v>
      </c>
      <c r="B3" s="12" t="str">
        <f ca="1">OFFSET(Clientes!B3,B2,0)</f>
        <v>Rua das Hortênsias</v>
      </c>
      <c r="C3" s="13"/>
      <c r="D3" s="14"/>
    </row>
    <row r="4" spans="1:4" x14ac:dyDescent="0.3">
      <c r="A4" s="1" t="s">
        <v>3</v>
      </c>
      <c r="B4" s="12" t="str">
        <f ca="1">OFFSET(Clientes!C3,B2,0)</f>
        <v>Primavera</v>
      </c>
      <c r="C4" s="13"/>
      <c r="D4" s="14"/>
    </row>
    <row r="5" spans="1:4" x14ac:dyDescent="0.3">
      <c r="A5" s="1" t="s">
        <v>4</v>
      </c>
      <c r="B5" s="18">
        <v>2</v>
      </c>
      <c r="C5" s="1" t="s">
        <v>10</v>
      </c>
      <c r="D5" s="18">
        <v>2</v>
      </c>
    </row>
    <row r="6" spans="1:4" x14ac:dyDescent="0.3">
      <c r="A6" s="1" t="s">
        <v>5</v>
      </c>
      <c r="B6" s="15" t="str">
        <f ca="1">OFFSET(Clientes!D3,B2,0)</f>
        <v>3229-6070</v>
      </c>
      <c r="C6" s="1" t="s">
        <v>11</v>
      </c>
      <c r="D6" s="15" t="str">
        <f ca="1">OFFSET(Clientes!H3,B2,0)</f>
        <v>93229-6070</v>
      </c>
    </row>
    <row r="7" spans="1:4" x14ac:dyDescent="0.3">
      <c r="A7" s="1" t="s">
        <v>6</v>
      </c>
      <c r="B7" s="15" t="str">
        <f ca="1">OFFSET(Clientes!E3,B2,0)</f>
        <v>anamariabraga@gmail.com</v>
      </c>
      <c r="C7" s="1" t="s">
        <v>12</v>
      </c>
      <c r="D7" s="15" t="str">
        <f ca="1">OFFSET(Clientes!F3,B2,0)</f>
        <v>822.438.295-20</v>
      </c>
    </row>
    <row r="8" spans="1:4" x14ac:dyDescent="0.3"/>
    <row r="9" spans="1:4" x14ac:dyDescent="0.3">
      <c r="A9" s="8" t="s">
        <v>7</v>
      </c>
      <c r="B9" s="9"/>
      <c r="C9" s="1" t="s">
        <v>8</v>
      </c>
      <c r="D9" s="1" t="s">
        <v>9</v>
      </c>
    </row>
    <row r="10" spans="1:4" x14ac:dyDescent="0.3">
      <c r="A10" s="18">
        <v>5</v>
      </c>
      <c r="B10" s="18"/>
      <c r="C10" s="18">
        <v>3</v>
      </c>
      <c r="D10" s="16">
        <f ca="1">OFFSET(Serviços!$B$1,A10,0)*C10</f>
        <v>195</v>
      </c>
    </row>
    <row r="11" spans="1:4" x14ac:dyDescent="0.3">
      <c r="A11" s="18">
        <v>5</v>
      </c>
      <c r="B11" s="18"/>
      <c r="C11" s="18">
        <v>0</v>
      </c>
      <c r="D11" s="16">
        <f ca="1">OFFSET(Serviços!$B$1,A11,0)*C11</f>
        <v>0</v>
      </c>
    </row>
    <row r="12" spans="1:4" x14ac:dyDescent="0.3">
      <c r="A12" s="18">
        <v>4</v>
      </c>
      <c r="B12" s="18"/>
      <c r="C12" s="18"/>
      <c r="D12" s="16">
        <f ca="1">OFFSET(Serviços!$B$1,A12,0)*C12</f>
        <v>0</v>
      </c>
    </row>
    <row r="13" spans="1:4" x14ac:dyDescent="0.3">
      <c r="A13" s="18">
        <v>4</v>
      </c>
      <c r="B13" s="18"/>
      <c r="C13" s="18"/>
      <c r="D13" s="16">
        <f ca="1">OFFSET(Serviços!$B$1,A13,0)*C13</f>
        <v>0</v>
      </c>
    </row>
    <row r="14" spans="1:4" x14ac:dyDescent="0.3">
      <c r="C14" s="1" t="s">
        <v>72</v>
      </c>
      <c r="D14" s="16">
        <f ca="1">SUM(D10:D13)</f>
        <v>195</v>
      </c>
    </row>
    <row r="15" spans="1:4" x14ac:dyDescent="0.3"/>
    <row r="16" spans="1:4" x14ac:dyDescent="0.3">
      <c r="A16" s="19"/>
      <c r="C16" s="1" t="s">
        <v>71</v>
      </c>
      <c r="D16" s="15">
        <f>IF(B17=1,D14*5%,0)</f>
        <v>0</v>
      </c>
    </row>
    <row r="17" spans="1:4" x14ac:dyDescent="0.3">
      <c r="A17" s="19"/>
      <c r="B17" s="20">
        <v>2</v>
      </c>
      <c r="C17" s="1" t="s">
        <v>73</v>
      </c>
      <c r="D17" s="15">
        <f ca="1">IF(B17=2,D14*10%,0)</f>
        <v>19.5</v>
      </c>
    </row>
    <row r="18" spans="1:4" x14ac:dyDescent="0.3">
      <c r="A18" s="19"/>
    </row>
    <row r="19" spans="1:4" x14ac:dyDescent="0.3">
      <c r="C19" s="1" t="s">
        <v>74</v>
      </c>
      <c r="D19" s="1">
        <v>0</v>
      </c>
    </row>
    <row r="20" spans="1:4" x14ac:dyDescent="0.3"/>
    <row r="21" spans="1:4" x14ac:dyDescent="0.3">
      <c r="A21" s="1" t="s">
        <v>75</v>
      </c>
      <c r="B21" s="1"/>
      <c r="C21" s="1" t="s">
        <v>9</v>
      </c>
      <c r="D21" s="17">
        <f ca="1">D14+D16-D17-D19</f>
        <v>175.5</v>
      </c>
    </row>
    <row r="22" spans="1:4" x14ac:dyDescent="0.3"/>
    <row r="23" spans="1:4" hidden="1" x14ac:dyDescent="0.3">
      <c r="A23" s="11" t="s">
        <v>76</v>
      </c>
      <c r="B23" s="11"/>
    </row>
  </sheetData>
  <mergeCells count="5">
    <mergeCell ref="A1:D1"/>
    <mergeCell ref="A9:B9"/>
    <mergeCell ref="A23:B23"/>
    <mergeCell ref="B3:D3"/>
    <mergeCell ref="B4:D4"/>
  </mergeCells>
  <conditionalFormatting sqref="B3:D4 B6:B7 D6:D7">
    <cfRule type="cellIs" dxfId="0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scale="86" orientation="landscape" cellComments="atEnd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Drop Down 2">
              <controlPr defaultSize="0" autoLine="0" autoPict="0">
                <anchor moveWithCells="1">
                  <from>
                    <xdr:col>1</xdr:col>
                    <xdr:colOff>7620</xdr:colOff>
                    <xdr:row>1</xdr:row>
                    <xdr:rowOff>0</xdr:rowOff>
                  </from>
                  <to>
                    <xdr:col>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Drop Down 3">
              <controlPr defaultSize="0" autoLine="0" autoPict="0">
                <anchor moveWithCells="1">
                  <from>
                    <xdr:col>0</xdr:col>
                    <xdr:colOff>7620</xdr:colOff>
                    <xdr:row>8</xdr:row>
                    <xdr:rowOff>175260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Drop Down 7">
              <controlPr defaultSize="0" autoLine="0" autoPict="0">
                <anchor moveWithCells="1">
                  <from>
                    <xdr:col>0</xdr:col>
                    <xdr:colOff>7620</xdr:colOff>
                    <xdr:row>10</xdr:row>
                    <xdr:rowOff>175260</xdr:rowOff>
                  </from>
                  <to>
                    <xdr:col>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Drop Down 8">
              <controlPr defaultSize="0" autoLine="0" autoPict="0">
                <anchor moveWithCells="1">
                  <from>
                    <xdr:col>0</xdr:col>
                    <xdr:colOff>7620</xdr:colOff>
                    <xdr:row>9</xdr:row>
                    <xdr:rowOff>175260</xdr:rowOff>
                  </from>
                  <to>
                    <xdr:col>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Drop Down 9">
              <controlPr defaultSize="0" autoLine="0" autoPict="0">
                <anchor moveWithCells="1">
                  <from>
                    <xdr:col>0</xdr:col>
                    <xdr:colOff>7620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Drop Down 10">
              <controlPr defaultSize="0" autoLine="0" autoPict="0">
                <anchor moveWithCells="1">
                  <from>
                    <xdr:col>1</xdr:col>
                    <xdr:colOff>0</xdr:colOff>
                    <xdr:row>3</xdr:row>
                    <xdr:rowOff>167640</xdr:rowOff>
                  </from>
                  <to>
                    <xdr:col>2</xdr:col>
                    <xdr:colOff>7620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Drop Down 11">
              <controlPr defaultSize="0" autoLine="0" autoPict="0">
                <anchor moveWithCells="1">
                  <from>
                    <xdr:col>3</xdr:col>
                    <xdr:colOff>0</xdr:colOff>
                    <xdr:row>4</xdr:row>
                    <xdr:rowOff>7620</xdr:rowOff>
                  </from>
                  <to>
                    <xdr:col>3</xdr:col>
                    <xdr:colOff>929640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Group Box 12">
              <controlPr defaultSize="0" autoFill="0" autoPict="0">
                <anchor moveWithCells="1">
                  <from>
                    <xdr:col>0</xdr:col>
                    <xdr:colOff>22860</xdr:colOff>
                    <xdr:row>14</xdr:row>
                    <xdr:rowOff>0</xdr:rowOff>
                  </from>
                  <to>
                    <xdr:col>1</xdr:col>
                    <xdr:colOff>2263140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Option Button 13">
              <controlPr defaultSize="0" autoFill="0" autoLine="0" autoPict="0">
                <anchor moveWithCells="1">
                  <from>
                    <xdr:col>0</xdr:col>
                    <xdr:colOff>91440</xdr:colOff>
                    <xdr:row>14</xdr:row>
                    <xdr:rowOff>160020</xdr:rowOff>
                  </from>
                  <to>
                    <xdr:col>1</xdr:col>
                    <xdr:colOff>144780</xdr:colOff>
                    <xdr:row>16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Option Button 14">
              <controlPr defaultSize="0" autoFill="0" autoLine="0" autoPict="0">
                <anchor moveWithCells="1">
                  <from>
                    <xdr:col>0</xdr:col>
                    <xdr:colOff>99060</xdr:colOff>
                    <xdr:row>16</xdr:row>
                    <xdr:rowOff>144780</xdr:rowOff>
                  </from>
                  <to>
                    <xdr:col>1</xdr:col>
                    <xdr:colOff>152400</xdr:colOff>
                    <xdr:row>17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2"/>
  <sheetViews>
    <sheetView showGridLines="0" workbookViewId="0">
      <selection sqref="A1:H1"/>
    </sheetView>
  </sheetViews>
  <sheetFormatPr defaultColWidth="0" defaultRowHeight="14.4" zeroHeight="1" x14ac:dyDescent="0.3"/>
  <cols>
    <col min="1" max="1" width="24.33203125" customWidth="1"/>
    <col min="2" max="2" width="16.5546875" customWidth="1"/>
    <col min="3" max="3" width="8.88671875" customWidth="1"/>
    <col min="4" max="4" width="9.6640625" customWidth="1"/>
    <col min="5" max="5" width="33.21875" customWidth="1"/>
    <col min="6" max="6" width="13.88671875" customWidth="1"/>
    <col min="7" max="7" width="16.21875" customWidth="1"/>
    <col min="8" max="8" width="10.6640625" customWidth="1"/>
    <col min="9" max="10" width="8.88671875" customWidth="1"/>
    <col min="11" max="11" width="11.88671875" bestFit="1" customWidth="1"/>
    <col min="12" max="12" width="8.88671875" customWidth="1"/>
    <col min="13" max="16384" width="8.88671875" hidden="1"/>
  </cols>
  <sheetData>
    <row r="1" spans="1:11" x14ac:dyDescent="0.3">
      <c r="A1" s="2" t="s">
        <v>13</v>
      </c>
      <c r="B1" s="2"/>
      <c r="C1" s="2"/>
      <c r="D1" s="2"/>
      <c r="E1" s="2"/>
      <c r="F1" s="2"/>
      <c r="G1" s="2"/>
      <c r="H1" s="2"/>
    </row>
    <row r="2" spans="1:11" x14ac:dyDescent="0.3"/>
    <row r="3" spans="1:11" x14ac:dyDescent="0.3">
      <c r="A3" s="1" t="s">
        <v>1</v>
      </c>
      <c r="B3" s="1" t="s">
        <v>2</v>
      </c>
      <c r="C3" s="1" t="s">
        <v>3</v>
      </c>
      <c r="D3" s="1" t="s">
        <v>5</v>
      </c>
      <c r="E3" s="1" t="s">
        <v>6</v>
      </c>
      <c r="F3" s="1" t="s">
        <v>12</v>
      </c>
      <c r="G3" s="1" t="s">
        <v>14</v>
      </c>
      <c r="H3" s="1" t="s">
        <v>11</v>
      </c>
      <c r="J3" s="3" t="s">
        <v>10</v>
      </c>
      <c r="K3" s="4" t="s">
        <v>4</v>
      </c>
    </row>
    <row r="4" spans="1:11" x14ac:dyDescent="0.3">
      <c r="A4" s="1"/>
      <c r="B4" s="1"/>
      <c r="C4" s="1"/>
      <c r="D4" s="1"/>
      <c r="E4" s="1"/>
      <c r="F4" s="1"/>
      <c r="G4" s="1"/>
      <c r="H4" s="1"/>
      <c r="J4" s="3"/>
      <c r="K4" s="1"/>
    </row>
    <row r="5" spans="1:11" x14ac:dyDescent="0.3">
      <c r="A5" s="1" t="s">
        <v>15</v>
      </c>
      <c r="B5" s="1" t="s">
        <v>16</v>
      </c>
      <c r="C5" s="1" t="s">
        <v>17</v>
      </c>
      <c r="D5" s="1" t="s">
        <v>18</v>
      </c>
      <c r="E5" s="5" t="s">
        <v>19</v>
      </c>
      <c r="F5" s="1" t="s">
        <v>20</v>
      </c>
      <c r="G5" s="1" t="s">
        <v>21</v>
      </c>
      <c r="H5" s="1" t="s">
        <v>22</v>
      </c>
      <c r="J5" s="3" t="s">
        <v>23</v>
      </c>
      <c r="K5" s="4" t="s">
        <v>77</v>
      </c>
    </row>
    <row r="6" spans="1:11" x14ac:dyDescent="0.3">
      <c r="A6" s="6" t="s">
        <v>24</v>
      </c>
      <c r="B6" s="1" t="s">
        <v>25</v>
      </c>
      <c r="C6" s="1" t="s">
        <v>17</v>
      </c>
      <c r="D6" s="1" t="s">
        <v>26</v>
      </c>
      <c r="E6" s="5" t="s">
        <v>27</v>
      </c>
      <c r="F6" s="1" t="s">
        <v>28</v>
      </c>
      <c r="G6" s="1" t="s">
        <v>29</v>
      </c>
      <c r="H6" s="1" t="s">
        <v>30</v>
      </c>
      <c r="J6" s="3" t="s">
        <v>31</v>
      </c>
      <c r="K6" s="4" t="s">
        <v>78</v>
      </c>
    </row>
    <row r="7" spans="1:11" x14ac:dyDescent="0.3">
      <c r="A7" s="1" t="s">
        <v>32</v>
      </c>
      <c r="B7" s="1" t="s">
        <v>33</v>
      </c>
      <c r="C7" s="1" t="s">
        <v>34</v>
      </c>
      <c r="D7" s="1" t="s">
        <v>35</v>
      </c>
      <c r="E7" s="5" t="s">
        <v>36</v>
      </c>
      <c r="F7" s="1" t="s">
        <v>37</v>
      </c>
      <c r="G7" s="1" t="s">
        <v>38</v>
      </c>
      <c r="H7" s="1" t="s">
        <v>39</v>
      </c>
      <c r="K7" s="4" t="s">
        <v>79</v>
      </c>
    </row>
    <row r="8" spans="1:11" x14ac:dyDescent="0.3">
      <c r="A8" s="4" t="s">
        <v>40</v>
      </c>
      <c r="B8" s="1" t="s">
        <v>41</v>
      </c>
      <c r="C8" s="1" t="s">
        <v>42</v>
      </c>
      <c r="D8" s="1" t="s">
        <v>43</v>
      </c>
      <c r="E8" s="5" t="s">
        <v>44</v>
      </c>
      <c r="F8" s="1" t="s">
        <v>45</v>
      </c>
      <c r="G8" s="1" t="s">
        <v>46</v>
      </c>
      <c r="H8" s="1" t="s">
        <v>47</v>
      </c>
      <c r="K8" s="4" t="s">
        <v>80</v>
      </c>
    </row>
    <row r="9" spans="1:11" x14ac:dyDescent="0.3">
      <c r="A9" s="4" t="s">
        <v>48</v>
      </c>
      <c r="B9" s="1" t="s">
        <v>49</v>
      </c>
      <c r="C9" s="1" t="s">
        <v>50</v>
      </c>
      <c r="D9" s="1" t="s">
        <v>51</v>
      </c>
      <c r="E9" s="5" t="s">
        <v>52</v>
      </c>
      <c r="F9" s="1" t="s">
        <v>53</v>
      </c>
      <c r="G9" s="1" t="s">
        <v>54</v>
      </c>
      <c r="H9" s="1" t="s">
        <v>55</v>
      </c>
      <c r="K9" s="4" t="s">
        <v>81</v>
      </c>
    </row>
    <row r="10" spans="1:11" x14ac:dyDescent="0.3">
      <c r="A10" s="4" t="s">
        <v>56</v>
      </c>
      <c r="B10" s="1" t="s">
        <v>57</v>
      </c>
      <c r="C10" s="1" t="s">
        <v>17</v>
      </c>
      <c r="D10" s="1" t="s">
        <v>58</v>
      </c>
      <c r="E10" s="5" t="s">
        <v>59</v>
      </c>
      <c r="F10" s="1" t="s">
        <v>60</v>
      </c>
      <c r="G10" s="1" t="s">
        <v>61</v>
      </c>
      <c r="H10" s="1" t="s">
        <v>62</v>
      </c>
    </row>
    <row r="11" spans="1:11" x14ac:dyDescent="0.3"/>
    <row r="12" spans="1:11" x14ac:dyDescent="0.3"/>
  </sheetData>
  <sheetProtection algorithmName="SHA-512" hashValue="c6onrbdP7XJtnlrJdomdCzyuJh9+JXsWfYG+H0V8tAFcDG1k8WA28jysx2UPOzgk8vlCoJWrFqZXpV3svCW2QA==" saltValue="qAbKH6+M1hIkj5YcYVm8aw==" spinCount="100000" sheet="1" objects="1" scenarios="1"/>
  <mergeCells count="1">
    <mergeCell ref="A1:H1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4"/>
  <sheetViews>
    <sheetView showGridLines="0" workbookViewId="0"/>
  </sheetViews>
  <sheetFormatPr defaultColWidth="0" defaultRowHeight="14.4" zeroHeight="1" x14ac:dyDescent="0.3"/>
  <cols>
    <col min="1" max="1" width="26.6640625" customWidth="1"/>
    <col min="2" max="9" width="8.88671875" customWidth="1"/>
    <col min="10" max="16384" width="8.88671875" hidden="1"/>
  </cols>
  <sheetData>
    <row r="1" spans="1:2" x14ac:dyDescent="0.3">
      <c r="A1" s="7" t="s">
        <v>63</v>
      </c>
      <c r="B1" s="7" t="s">
        <v>64</v>
      </c>
    </row>
    <row r="2" spans="1:2" x14ac:dyDescent="0.3">
      <c r="A2" s="7"/>
      <c r="B2" s="7"/>
    </row>
    <row r="3" spans="1:2" x14ac:dyDescent="0.3">
      <c r="A3" s="1" t="s">
        <v>65</v>
      </c>
      <c r="B3" s="10">
        <v>20</v>
      </c>
    </row>
    <row r="4" spans="1:2" x14ac:dyDescent="0.3">
      <c r="A4" s="1" t="s">
        <v>66</v>
      </c>
      <c r="B4" s="10">
        <v>35</v>
      </c>
    </row>
    <row r="5" spans="1:2" x14ac:dyDescent="0.3">
      <c r="A5" s="5" t="s">
        <v>67</v>
      </c>
      <c r="B5" s="10">
        <v>50</v>
      </c>
    </row>
    <row r="6" spans="1:2" x14ac:dyDescent="0.3">
      <c r="A6" s="5" t="s">
        <v>68</v>
      </c>
      <c r="B6" s="10">
        <v>65</v>
      </c>
    </row>
    <row r="7" spans="1:2" x14ac:dyDescent="0.3">
      <c r="A7" s="1" t="s">
        <v>69</v>
      </c>
      <c r="B7" s="10">
        <v>70</v>
      </c>
    </row>
    <row r="8" spans="1:2" x14ac:dyDescent="0.3">
      <c r="A8" s="1" t="s">
        <v>70</v>
      </c>
      <c r="B8" s="10">
        <v>60</v>
      </c>
    </row>
    <row r="9" spans="1:2" x14ac:dyDescent="0.3"/>
    <row r="10" spans="1:2" x14ac:dyDescent="0.3"/>
    <row r="11" spans="1:2" x14ac:dyDescent="0.3"/>
    <row r="12" spans="1:2" x14ac:dyDescent="0.3"/>
    <row r="13" spans="1:2" x14ac:dyDescent="0.3"/>
    <row r="14" spans="1:2" x14ac:dyDescent="0.3"/>
    <row r="15" spans="1:2" x14ac:dyDescent="0.3"/>
    <row r="16" spans="1:2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</sheetData>
  <sheetProtection algorithmName="SHA-512" hashValue="cry37RWEPd/Uqd0hYbC+Pw2x0HV+Jt6Qikinc28fA3euzLreb5C82hZAUKrcdvKNZ6iFKyH5q2s1OQ04wHv/Xg==" saltValue="Ak+tbJD8DoISUP0MXPgYeQ==" spinCount="100000" sheet="1" objects="1" scenarios="1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Menu</vt:lpstr>
      <vt:lpstr>Orçamento</vt:lpstr>
      <vt:lpstr>Clientes</vt:lpstr>
      <vt:lpstr>Serviços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sandro</dc:creator>
  <cp:lastModifiedBy>sandro</cp:lastModifiedBy>
  <cp:lastPrinted>2017-06-30T18:05:40Z</cp:lastPrinted>
  <dcterms:created xsi:type="dcterms:W3CDTF">2017-06-30T16:43:42Z</dcterms:created>
  <dcterms:modified xsi:type="dcterms:W3CDTF">2017-07-02T12:25:25Z</dcterms:modified>
</cp:coreProperties>
</file>